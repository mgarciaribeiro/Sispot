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ispot\"/>
    </mc:Choice>
  </mc:AlternateContent>
  <xr:revisionPtr revIDLastSave="0" documentId="13_ncr:1_{C089F214-41F4-4BD9-A739-9EFE38723F3D}" xr6:coauthVersionLast="46" xr6:coauthVersionMax="46" xr10:uidLastSave="{00000000-0000-0000-0000-000000000000}"/>
  <bookViews>
    <workbookView xWindow="-120" yWindow="-120" windowWidth="29040" windowHeight="15840" xr2:uid="{5211B6D5-8C62-4D20-A03F-1AA84F8F814F}"/>
  </bookViews>
  <sheets>
    <sheet name="DADO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4" i="1" l="1"/>
  <c r="AH4" i="1" s="1"/>
  <c r="AH5" i="1"/>
  <c r="AH3" i="1"/>
  <c r="AG4" i="1"/>
  <c r="AG5" i="1"/>
  <c r="AG3" i="1"/>
  <c r="U46" i="1"/>
  <c r="U45" i="1"/>
  <c r="U29" i="1"/>
  <c r="U2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tc={EBC52891-E3A4-495D-A967-7E7318299732}</author>
    <author>tc={AB3120DE-ABE4-4094-8C67-BC8B87D64C56}</author>
  </authors>
  <commentList>
    <comment ref="U22" authorId="0" shapeId="0" xr:uid="{EBC52891-E3A4-495D-A967-7E7318299732}">
      <text>
        <t>[Threaded comment]
Your version of Excel allows you to read this threaded comment; however, any edits to it will get removed if the file is opened in a newer version of Excel. Learn more: https://go.microsoft.com/fwlink/?linkid=870924
Comment:
    Esta procura pelo Rdc se baseia na tabela Resistências DC ao lado. Caso a seção utilizada seja diferente, delete a fórmula e insira o valor por conta ou acrescente novas seções na tabela de referência e expanda a fórmula.</t>
      </text>
    </comment>
    <comment ref="Q31" authorId="1" shapeId="0" xr:uid="{AB3120DE-ABE4-4094-8C67-BC8B87D64C56}">
      <text>
        <t>[Threaded comment]
Your version of Excel allows you to read this threaded comment; however, any edits to it will get removed if the file is opened in a newer version of Excel. Learn more: https://go.microsoft.com/fwlink/?linkid=870924
Comment:
    Se cabível! Caso contrário, não será considerada.</t>
      </text>
    </comment>
  </commentList>
</comments>
</file>

<file path=xl/sharedStrings.xml><?xml version="1.0" encoding="utf-8"?>
<sst xmlns="http://schemas.openxmlformats.org/spreadsheetml/2006/main" count="194" uniqueCount="92">
  <si>
    <t>Parâmetros Linhas Subterrâneas v1.0</t>
  </si>
  <si>
    <t>Hitachi Energy</t>
  </si>
  <si>
    <t>09</t>
  </si>
  <si>
    <t>11</t>
  </si>
  <si>
    <t>2021</t>
  </si>
  <si>
    <t>Desenvolvido em</t>
  </si>
  <si>
    <t>Python e Excel</t>
  </si>
  <si>
    <t>Dados Construtivos</t>
  </si>
  <si>
    <t>Diâmetros e Espessuras</t>
  </si>
  <si>
    <t>Condutor</t>
  </si>
  <si>
    <t>Diâmetro Interno</t>
  </si>
  <si>
    <t>Diâmetro Externo</t>
  </si>
  <si>
    <t>(mm)</t>
  </si>
  <si>
    <t>Espessura</t>
  </si>
  <si>
    <t>Camada Isolante</t>
  </si>
  <si>
    <t>Camada Semicondutora Condutor</t>
  </si>
  <si>
    <t>Camada Semicondutora Isolante</t>
  </si>
  <si>
    <t>Blindagem</t>
  </si>
  <si>
    <t>Cabo</t>
  </si>
  <si>
    <t>Materiais Elétricos</t>
  </si>
  <si>
    <t>Condutores</t>
  </si>
  <si>
    <t>Alumínio</t>
  </si>
  <si>
    <t>Cobre</t>
  </si>
  <si>
    <t>XLPE</t>
  </si>
  <si>
    <t>PVC</t>
  </si>
  <si>
    <t>Isolantes</t>
  </si>
  <si>
    <t>Tipos de Blindagem</t>
  </si>
  <si>
    <t>Fios</t>
  </si>
  <si>
    <t>Fita</t>
  </si>
  <si>
    <t>Fios e Fita</t>
  </si>
  <si>
    <t>Resistividades</t>
  </si>
  <si>
    <t>(Ω.m)</t>
  </si>
  <si>
    <t>Dados Térmicos e Elétricos</t>
  </si>
  <si>
    <t>Material</t>
  </si>
  <si>
    <t>Resistividade</t>
  </si>
  <si>
    <t>Resistência DC</t>
  </si>
  <si>
    <t>(Ω/km)</t>
  </si>
  <si>
    <t>Resistências DC</t>
  </si>
  <si>
    <t>Área
(mm²)</t>
  </si>
  <si>
    <t>Seção Nominal</t>
  </si>
  <si>
    <t>(mm²)</t>
  </si>
  <si>
    <t>Temperatura</t>
  </si>
  <si>
    <t>(°C)</t>
  </si>
  <si>
    <t>Frequência Nominal</t>
  </si>
  <si>
    <t>(Hz)</t>
  </si>
  <si>
    <t>Fatores</t>
  </si>
  <si>
    <t>Fator ks (Skin)</t>
  </si>
  <si>
    <t>Sólido</t>
  </si>
  <si>
    <t>Encordoado</t>
  </si>
  <si>
    <t>Milliken</t>
  </si>
  <si>
    <t>Tubo</t>
  </si>
  <si>
    <t>Fator kp (Proximidade)</t>
  </si>
  <si>
    <t>Tipo</t>
  </si>
  <si>
    <t>Tubular</t>
  </si>
  <si>
    <r>
      <t>Permeabilidade Relativa (</t>
    </r>
    <r>
      <rPr>
        <sz val="11"/>
        <color rgb="FFFF0000"/>
        <rFont val="Calibri"/>
        <family val="2"/>
      </rPr>
      <t>μ</t>
    </r>
    <r>
      <rPr>
        <sz val="11"/>
        <color rgb="FFFF0000"/>
        <rFont val="Courier New"/>
        <family val="3"/>
      </rPr>
      <t>)</t>
    </r>
  </si>
  <si>
    <r>
      <t>Permissividade Relativa (</t>
    </r>
    <r>
      <rPr>
        <sz val="11"/>
        <color rgb="FFFF0000"/>
        <rFont val="Calibri"/>
        <family val="2"/>
      </rPr>
      <t>ε</t>
    </r>
    <r>
      <rPr>
        <sz val="11"/>
        <color rgb="FFFF0000"/>
        <rFont val="Courier New"/>
        <family val="3"/>
      </rPr>
      <t>)</t>
    </r>
  </si>
  <si>
    <t>Segunda Camada Isolante (Cabo)</t>
  </si>
  <si>
    <t>Terra</t>
  </si>
  <si>
    <t>Processar Dados (Wedepohl)</t>
  </si>
  <si>
    <t>Processar Dados (Completo)</t>
  </si>
  <si>
    <t>Geometria</t>
  </si>
  <si>
    <t>Profundidade</t>
  </si>
  <si>
    <t>Horizontal</t>
  </si>
  <si>
    <t>(m)</t>
  </si>
  <si>
    <t>Gerar Cable Constants para ATP</t>
  </si>
  <si>
    <t>Tipo de condutor</t>
  </si>
  <si>
    <t>Sólido/Encordoado/Milliken</t>
  </si>
  <si>
    <t>A</t>
  </si>
  <si>
    <t>B</t>
  </si>
  <si>
    <t>C</t>
  </si>
  <si>
    <t>Espessura Capa</t>
  </si>
  <si>
    <t>Quantidade de Fios</t>
  </si>
  <si>
    <t>Resultados</t>
  </si>
  <si>
    <r>
      <t>Z0 (</t>
    </r>
    <r>
      <rPr>
        <sz val="11"/>
        <color theme="1"/>
        <rFont val="Calibri"/>
        <family val="2"/>
      </rPr>
      <t>Ω</t>
    </r>
    <r>
      <rPr>
        <sz val="11"/>
        <color theme="1"/>
        <rFont val="Courier New"/>
        <family val="3"/>
      </rPr>
      <t>/km)</t>
    </r>
  </si>
  <si>
    <t>Z1 (Ω/km)</t>
  </si>
  <si>
    <t>Z2 (Ω/km)</t>
  </si>
  <si>
    <t>rea</t>
  </si>
  <si>
    <t>img</t>
  </si>
  <si>
    <t>Y0 (uS/km)</t>
  </si>
  <si>
    <t>Y1 (uS/km)</t>
  </si>
  <si>
    <t>Y2 (uS/km)</t>
  </si>
  <si>
    <t>Cable Constants</t>
  </si>
  <si>
    <t>CORE</t>
  </si>
  <si>
    <t>Rin</t>
  </si>
  <si>
    <t>Rout</t>
  </si>
  <si>
    <t>Rho</t>
  </si>
  <si>
    <t>mu</t>
  </si>
  <si>
    <t>eps</t>
  </si>
  <si>
    <t>(ohm*m)</t>
  </si>
  <si>
    <t>(ins)</t>
  </si>
  <si>
    <t>SHEATH</t>
  </si>
  <si>
    <t>R5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</si>
</sst>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1"/>
      <name val="Courier New"/>
      <family val="3"/>
    </font>
    <font>
      <sz val="11"/>
      <color rgb="FFFF0000"/>
      <name val="Courier New"/>
      <family val="3"/>
    </font>
    <font>
      <sz val="11"/>
      <color rgb="FFFF0000"/>
      <name val="Calibri"/>
      <family val="2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1" fillId="2" borderId="11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165" fontId="1" fillId="2" borderId="10" xfId="0" applyNumberFormat="1" applyFont="1" applyFill="1" applyBorder="1" applyAlignment="1">
      <alignment horizontal="center" vertical="center"/>
    </xf>
    <xf numFmtId="165" fontId="1" fillId="2" borderId="11" xfId="0" applyNumberFormat="1" applyFont="1" applyFill="1" applyBorder="1" applyAlignment="1">
      <alignment horizontal="center" vertical="center"/>
    </xf>
    <xf numFmtId="165" fontId="1" fillId="2" borderId="12" xfId="0" applyNumberFormat="1" applyFont="1" applyFill="1" applyBorder="1" applyAlignment="1">
      <alignment horizontal="center" vertical="center"/>
    </xf>
    <xf numFmtId="164" fontId="1" fillId="2" borderId="10" xfId="0" applyNumberFormat="1" applyFont="1" applyFill="1" applyBorder="1" applyAlignment="1">
      <alignment horizontal="center" vertical="center"/>
    </xf>
    <xf numFmtId="164" fontId="1" fillId="2" borderId="11" xfId="0" applyNumberFormat="1" applyFont="1" applyFill="1" applyBorder="1" applyAlignment="1">
      <alignment horizontal="center" vertical="center"/>
    </xf>
    <xf numFmtId="164" fontId="1" fillId="2" borderId="12" xfId="0" applyNumberFormat="1" applyFont="1" applyFill="1" applyBorder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5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11" fontId="1" fillId="2" borderId="0" xfId="0" applyNumberFormat="1" applyFont="1" applyFill="1" applyAlignment="1">
      <alignment horizontal="left" vertical="center"/>
    </xf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1" fillId="3" borderId="6" xfId="0" applyFont="1" applyFill="1" applyBorder="1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" fillId="2" borderId="7" xfId="0" quotePrefix="1" applyFont="1" applyFill="1" applyBorder="1" applyAlignment="1">
      <alignment horizontal="center" vertical="center"/>
    </xf>
    <xf numFmtId="0" fontId="1" fillId="2" borderId="8" xfId="0" quotePrefix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1" fillId="2" borderId="9" xfId="0" quotePrefix="1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3" fillId="4" borderId="11" xfId="0" applyFont="1" applyFill="1" applyBorder="1" applyAlignment="1">
      <alignment horizontal="center"/>
    </xf>
    <xf numFmtId="0" fontId="3" fillId="4" borderId="1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4" borderId="8" xfId="0" applyFont="1" applyFill="1" applyBorder="1" applyAlignment="1">
      <alignment horizontal="center"/>
    </xf>
    <xf numFmtId="0" fontId="3" fillId="4" borderId="8" xfId="0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3" fillId="4" borderId="11" xfId="0" applyFont="1" applyFill="1" applyBorder="1" applyAlignment="1">
      <alignment horizontal="center" vertical="center"/>
    </xf>
    <xf numFmtId="0" fontId="3" fillId="4" borderId="12" xfId="0" applyFont="1" applyFill="1" applyBorder="1"/>
    <xf numFmtId="0" fontId="2" fillId="5" borderId="2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1" fillId="5" borderId="12" xfId="0" applyFont="1" applyFill="1" applyBorder="1" applyAlignment="1">
      <alignment horizont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 vertical="center"/>
    </xf>
    <xf numFmtId="0" fontId="1" fillId="5" borderId="10" xfId="0" applyNumberFormat="1" applyFont="1" applyFill="1" applyBorder="1" applyAlignment="1">
      <alignment horizontal="center"/>
    </xf>
    <xf numFmtId="0" fontId="1" fillId="5" borderId="11" xfId="0" applyNumberFormat="1" applyFont="1" applyFill="1" applyBorder="1" applyAlignment="1">
      <alignment horizontal="center"/>
    </xf>
    <xf numFmtId="0" fontId="1" fillId="5" borderId="12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 vertical="center" wrapText="1"/>
    </xf>
    <xf numFmtId="164" fontId="1" fillId="5" borderId="10" xfId="0" applyNumberFormat="1" applyFont="1" applyFill="1" applyBorder="1"/>
    <xf numFmtId="0" fontId="1" fillId="5" borderId="12" xfId="0" applyFont="1" applyFill="1" applyBorder="1"/>
    <xf numFmtId="164" fontId="1" fillId="5" borderId="11" xfId="0" applyNumberFormat="1" applyFont="1" applyFill="1" applyBorder="1"/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DADOS!$AG$3:$AG$5</c:f>
              <c:numCache>
                <c:formatCode>General</c:formatCode>
                <c:ptCount val="3"/>
                <c:pt idx="0">
                  <c:v>-2.8199999999999999E-2</c:v>
                </c:pt>
                <c:pt idx="1">
                  <c:v>0</c:v>
                </c:pt>
                <c:pt idx="2">
                  <c:v>2.8199999999999999E-2</c:v>
                </c:pt>
              </c:numCache>
            </c:numRef>
          </c:xVal>
          <c:yVal>
            <c:numRef>
              <c:f>DADOS!$AH$3:$AH$5</c:f>
              <c:numCache>
                <c:formatCode>General</c:formatCode>
                <c:ptCount val="3"/>
                <c:pt idx="0">
                  <c:v>-3</c:v>
                </c:pt>
                <c:pt idx="1">
                  <c:v>-2.9511561672265576</c:v>
                </c:pt>
                <c:pt idx="2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14-4E25-A850-A89A95F10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268000"/>
        <c:axId val="253271608"/>
      </c:scatterChart>
      <c:valAx>
        <c:axId val="253268000"/>
        <c:scaling>
          <c:orientation val="minMax"/>
          <c:max val="0.2"/>
          <c:min val="-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3271608"/>
        <c:crosses val="autoZero"/>
        <c:crossBetween val="midCat"/>
        <c:majorUnit val="0.1"/>
      </c:valAx>
      <c:valAx>
        <c:axId val="253271608"/>
        <c:scaling>
          <c:orientation val="minMax"/>
          <c:max val="-2.9"/>
          <c:min val="-3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3268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9525</xdr:colOff>
      <xdr:row>2</xdr:row>
      <xdr:rowOff>9525</xdr:rowOff>
    </xdr:from>
    <xdr:to>
      <xdr:col>14</xdr:col>
      <xdr:colOff>561974</xdr:colOff>
      <xdr:row>20</xdr:row>
      <xdr:rowOff>0</xdr:rowOff>
    </xdr:to>
    <xdr:pic>
      <xdr:nvPicPr>
        <xdr:cNvPr id="3" name="Picture 2" descr="1 Core XLPE Cable 300mm XLPE Insulated Medium Voltage Cables - jytopcable">
          <a:extLst>
            <a:ext uri="{FF2B5EF4-FFF2-40B4-BE49-F238E27FC236}">
              <a16:creationId xmlns:a16="http://schemas.microsoft.com/office/drawing/2014/main" id="{8B2CF10A-50DA-4BB0-8ACD-31B6855A9E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400050"/>
          <a:ext cx="3448049" cy="3495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32</xdr:col>
      <xdr:colOff>0</xdr:colOff>
      <xdr:row>1</xdr:row>
      <xdr:rowOff>4762</xdr:rowOff>
    </xdr:from>
    <xdr:to>
      <xdr:col>40</xdr:col>
      <xdr:colOff>0</xdr:colOff>
      <xdr:row>14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9B4BC1B-1082-440E-939C-3BBC0143DB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Processar Dados (Completo)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791CFFAB-5F4C-4694-9FDE-6A561BAE28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Processar Dados (Wedepohl)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7</xdr:col>
          <xdr:colOff>0</xdr:colOff>
          <xdr:row>16</xdr:row>
          <xdr:rowOff>9525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52A087CC-BB28-4D30-9C7E-4C66E35B5E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Cable Constants para ATP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Isaias Lima" id="{04CE203F-FC9A-4D97-A9E0-05D75B0FDAC7}" userId="Isaias Lima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U22" personId="{04CE203F-FC9A-4D97-A9E0-05D75B0FDAC7}" id="{EBC52891-E3A4-495D-A967-7E7318299732}">
    <text>Esta procura pelo Rdc se baseia na tabela Resistências DC ao lado. Caso a seção utilizada seja diferente, delete a fórmula e insira o valor por conta ou acrescente novas seções na tabela de referência e expanda a fórmula.</text>
  </threadedComment>
  <threadedComment ref="Q31" dT="2021-11-09T19:10:13.50" personId="{04CE203F-FC9A-4D97-A9E0-05D75B0FDAC7}" id="{AB3120DE-ABE4-4094-8C67-BC8B87D64C56}">
    <text>Se cabível! Caso contrário, não será considerada.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6702C-B880-40AD-B5DE-626F09D94B29}">
  <sheetPr codeName="Sheet1"/>
  <dimension ref="A1:AH107"/>
  <sheetViews>
    <sheetView tabSelected="1" zoomScaleNormal="100" workbookViewId="0">
      <selection activeCell="W20" sqref="W20"/>
    </sheetView>
  </sheetViews>
  <sheetFormatPr defaultRowHeight="15" x14ac:dyDescent="0.25"/>
  <cols>
    <col min="1" max="1" width="3" style="34" customWidth="1"/>
    <col min="2" max="7" width="9.140625" style="35" customWidth="1"/>
    <col min="8" max="8" width="3" style="36" customWidth="1"/>
    <col min="9" max="9" width="3" style="26" customWidth="1"/>
    <col min="10" max="13" width="8.5703125" style="26" customWidth="1"/>
    <col min="14" max="14" width="9.140625" style="26"/>
    <col min="15" max="15" width="8.5703125" style="26" customWidth="1"/>
    <col min="16" max="16" width="3" style="26" customWidth="1"/>
    <col min="17" max="19" width="9.140625" style="26"/>
    <col min="20" max="20" width="9" style="27" bestFit="1" customWidth="1"/>
    <col min="21" max="21" width="14.28515625" style="11" bestFit="1" customWidth="1"/>
    <col min="22" max="23" width="3" style="26" customWidth="1"/>
    <col min="24" max="24" width="9.140625" style="31" customWidth="1"/>
    <col min="25" max="25" width="9.140625" style="26" customWidth="1"/>
    <col min="26" max="30" width="9.140625" style="26"/>
    <col min="31" max="31" width="10.28515625" style="26" bestFit="1" customWidth="1"/>
    <col min="32" max="32" width="3" style="26" customWidth="1"/>
    <col min="33" max="40" width="9.140625" style="26"/>
    <col min="41" max="41" width="3" style="26" customWidth="1"/>
    <col min="42" max="16384" width="9.140625" style="26"/>
  </cols>
  <sheetData>
    <row r="1" spans="2:34" x14ac:dyDescent="0.25">
      <c r="X1" s="26"/>
    </row>
    <row r="2" spans="2:34" ht="15.75" x14ac:dyDescent="0.3">
      <c r="B2" s="12" t="s">
        <v>0</v>
      </c>
      <c r="C2" s="13"/>
      <c r="D2" s="13"/>
      <c r="E2" s="13"/>
      <c r="F2" s="13"/>
      <c r="G2" s="14"/>
      <c r="J2" s="2" t="s">
        <v>7</v>
      </c>
      <c r="K2" s="3"/>
      <c r="L2" s="3"/>
      <c r="M2" s="3"/>
      <c r="N2" s="3"/>
      <c r="O2" s="4"/>
      <c r="Q2" s="49" t="s">
        <v>8</v>
      </c>
      <c r="R2" s="50"/>
      <c r="S2" s="50"/>
      <c r="T2" s="50"/>
      <c r="U2" s="51"/>
      <c r="W2" s="63" t="s">
        <v>60</v>
      </c>
      <c r="X2" s="63"/>
      <c r="Y2" s="63"/>
      <c r="Z2" s="63"/>
      <c r="AA2" s="63"/>
      <c r="AB2" s="63"/>
      <c r="AC2" s="63"/>
      <c r="AD2" s="63"/>
      <c r="AE2" s="63"/>
    </row>
    <row r="3" spans="2:34" ht="15.75" x14ac:dyDescent="0.3">
      <c r="B3" s="15" t="s">
        <v>1</v>
      </c>
      <c r="C3" s="16"/>
      <c r="D3" s="17"/>
      <c r="E3" s="29" t="s">
        <v>5</v>
      </c>
      <c r="F3" s="29"/>
      <c r="G3" s="30"/>
      <c r="J3" s="5"/>
      <c r="K3" s="6"/>
      <c r="L3" s="6"/>
      <c r="M3" s="6"/>
      <c r="N3" s="6"/>
      <c r="O3" s="7"/>
      <c r="Q3" s="49" t="s">
        <v>9</v>
      </c>
      <c r="R3" s="50"/>
      <c r="S3" s="50"/>
      <c r="T3" s="50"/>
      <c r="U3" s="51"/>
      <c r="W3" s="55" t="s">
        <v>67</v>
      </c>
      <c r="X3" s="52" t="s">
        <v>61</v>
      </c>
      <c r="Y3" s="53"/>
      <c r="Z3" s="64" t="s">
        <v>63</v>
      </c>
      <c r="AA3" s="65">
        <v>3</v>
      </c>
      <c r="AB3" s="52" t="s">
        <v>62</v>
      </c>
      <c r="AC3" s="53"/>
      <c r="AD3" s="64" t="s">
        <v>63</v>
      </c>
      <c r="AE3" s="65">
        <v>-2.8199999999999999E-2</v>
      </c>
      <c r="AG3" s="26">
        <f>AE3</f>
        <v>-2.8199999999999999E-2</v>
      </c>
      <c r="AH3" s="26">
        <f>-AA3</f>
        <v>-3</v>
      </c>
    </row>
    <row r="4" spans="2:34" x14ac:dyDescent="0.25">
      <c r="B4" s="40" t="s">
        <v>2</v>
      </c>
      <c r="C4" s="41" t="s">
        <v>3</v>
      </c>
      <c r="D4" s="48" t="s">
        <v>4</v>
      </c>
      <c r="E4" s="9" t="s">
        <v>6</v>
      </c>
      <c r="F4" s="9"/>
      <c r="G4" s="10"/>
      <c r="J4" s="28"/>
      <c r="K4" s="29"/>
      <c r="L4" s="29"/>
      <c r="M4" s="29"/>
      <c r="N4" s="29"/>
      <c r="O4" s="30"/>
      <c r="Q4" s="52" t="s">
        <v>10</v>
      </c>
      <c r="R4" s="53"/>
      <c r="S4" s="53"/>
      <c r="T4" s="54" t="s">
        <v>12</v>
      </c>
      <c r="U4" s="55">
        <v>0</v>
      </c>
      <c r="W4" s="55" t="s">
        <v>68</v>
      </c>
      <c r="X4" s="52" t="s">
        <v>61</v>
      </c>
      <c r="Y4" s="53"/>
      <c r="Z4" s="64" t="s">
        <v>63</v>
      </c>
      <c r="AA4" s="65">
        <f>3-SQRT(3)*AE5</f>
        <v>2.9511561672265576</v>
      </c>
      <c r="AB4" s="52" t="s">
        <v>62</v>
      </c>
      <c r="AC4" s="53"/>
      <c r="AD4" s="64" t="s">
        <v>63</v>
      </c>
      <c r="AE4" s="65">
        <v>0</v>
      </c>
      <c r="AG4" s="26">
        <f>AE4</f>
        <v>0</v>
      </c>
      <c r="AH4" s="26">
        <f>-AA4</f>
        <v>-2.9511561672265576</v>
      </c>
    </row>
    <row r="5" spans="2:34" x14ac:dyDescent="0.25">
      <c r="J5" s="28"/>
      <c r="K5" s="29"/>
      <c r="L5" s="29"/>
      <c r="M5" s="29"/>
      <c r="N5" s="29"/>
      <c r="O5" s="30"/>
      <c r="Q5" s="52" t="s">
        <v>11</v>
      </c>
      <c r="R5" s="53"/>
      <c r="S5" s="53"/>
      <c r="T5" s="54" t="s">
        <v>12</v>
      </c>
      <c r="U5" s="55">
        <v>30</v>
      </c>
      <c r="W5" s="55" t="s">
        <v>69</v>
      </c>
      <c r="X5" s="52" t="s">
        <v>61</v>
      </c>
      <c r="Y5" s="53"/>
      <c r="Z5" s="64" t="s">
        <v>63</v>
      </c>
      <c r="AA5" s="65">
        <v>3</v>
      </c>
      <c r="AB5" s="52" t="s">
        <v>62</v>
      </c>
      <c r="AC5" s="53"/>
      <c r="AD5" s="64" t="s">
        <v>63</v>
      </c>
      <c r="AE5" s="65">
        <v>2.8199999999999999E-2</v>
      </c>
      <c r="AG5" s="26">
        <f>AE5</f>
        <v>2.8199999999999999E-2</v>
      </c>
      <c r="AH5" s="26">
        <f>-AA5</f>
        <v>-3</v>
      </c>
    </row>
    <row r="6" spans="2:34" ht="15.75" x14ac:dyDescent="0.3">
      <c r="B6" s="5" t="s">
        <v>59</v>
      </c>
      <c r="C6" s="6"/>
      <c r="D6" s="6"/>
      <c r="E6" s="6"/>
      <c r="F6" s="6"/>
      <c r="G6" s="7"/>
      <c r="J6" s="28"/>
      <c r="K6" s="29"/>
      <c r="L6" s="29"/>
      <c r="M6" s="29"/>
      <c r="N6" s="29"/>
      <c r="O6" s="30"/>
      <c r="Q6" s="49" t="s">
        <v>15</v>
      </c>
      <c r="R6" s="50"/>
      <c r="S6" s="50"/>
      <c r="T6" s="50"/>
      <c r="U6" s="51"/>
      <c r="X6" s="26"/>
    </row>
    <row r="7" spans="2:34" x14ac:dyDescent="0.25">
      <c r="B7" s="28"/>
      <c r="C7" s="29"/>
      <c r="D7" s="29"/>
      <c r="E7" s="29"/>
      <c r="F7" s="29"/>
      <c r="G7" s="30"/>
      <c r="J7" s="28"/>
      <c r="K7" s="29"/>
      <c r="L7" s="29"/>
      <c r="M7" s="29"/>
      <c r="N7" s="29"/>
      <c r="O7" s="30"/>
      <c r="Q7" s="56" t="s">
        <v>13</v>
      </c>
      <c r="R7" s="57"/>
      <c r="S7" s="57"/>
      <c r="T7" s="58" t="s">
        <v>12</v>
      </c>
      <c r="U7" s="55">
        <v>0.85</v>
      </c>
    </row>
    <row r="8" spans="2:34" ht="15.75" x14ac:dyDescent="0.3">
      <c r="B8" s="8"/>
      <c r="C8" s="9"/>
      <c r="D8" s="9"/>
      <c r="E8" s="9"/>
      <c r="F8" s="9"/>
      <c r="G8" s="10"/>
      <c r="J8" s="28"/>
      <c r="K8" s="29"/>
      <c r="L8" s="29"/>
      <c r="M8" s="29"/>
      <c r="N8" s="29"/>
      <c r="O8" s="30"/>
      <c r="Q8" s="49" t="s">
        <v>14</v>
      </c>
      <c r="R8" s="50"/>
      <c r="S8" s="50"/>
      <c r="T8" s="50"/>
      <c r="U8" s="51"/>
    </row>
    <row r="9" spans="2:34" x14ac:dyDescent="0.25">
      <c r="J9" s="28"/>
      <c r="K9" s="29"/>
      <c r="L9" s="29"/>
      <c r="M9" s="29"/>
      <c r="N9" s="29"/>
      <c r="O9" s="30"/>
      <c r="Q9" s="56" t="s">
        <v>13</v>
      </c>
      <c r="R9" s="57"/>
      <c r="S9" s="57"/>
      <c r="T9" s="58" t="s">
        <v>12</v>
      </c>
      <c r="U9" s="55">
        <v>8.8000000000000007</v>
      </c>
    </row>
    <row r="10" spans="2:34" ht="15.75" x14ac:dyDescent="0.3">
      <c r="B10" s="5" t="s">
        <v>58</v>
      </c>
      <c r="C10" s="6"/>
      <c r="D10" s="6"/>
      <c r="E10" s="6"/>
      <c r="F10" s="6"/>
      <c r="G10" s="7"/>
      <c r="J10" s="28"/>
      <c r="K10" s="29"/>
      <c r="L10" s="29"/>
      <c r="M10" s="29"/>
      <c r="N10" s="29"/>
      <c r="O10" s="30"/>
      <c r="Q10" s="49" t="s">
        <v>16</v>
      </c>
      <c r="R10" s="50"/>
      <c r="S10" s="50"/>
      <c r="T10" s="50"/>
      <c r="U10" s="51"/>
    </row>
    <row r="11" spans="2:34" x14ac:dyDescent="0.25">
      <c r="B11" s="28"/>
      <c r="C11" s="29"/>
      <c r="D11" s="29"/>
      <c r="E11" s="29"/>
      <c r="F11" s="29"/>
      <c r="G11" s="30"/>
      <c r="J11" s="28"/>
      <c r="K11" s="29"/>
      <c r="L11" s="29"/>
      <c r="M11" s="29"/>
      <c r="N11" s="29"/>
      <c r="O11" s="30"/>
      <c r="Q11" s="56" t="s">
        <v>13</v>
      </c>
      <c r="R11" s="57"/>
      <c r="S11" s="57"/>
      <c r="T11" s="58" t="s">
        <v>12</v>
      </c>
      <c r="U11" s="55">
        <v>0.85</v>
      </c>
    </row>
    <row r="12" spans="2:34" ht="15.75" x14ac:dyDescent="0.3">
      <c r="B12" s="8"/>
      <c r="C12" s="9"/>
      <c r="D12" s="9"/>
      <c r="E12" s="9"/>
      <c r="F12" s="9"/>
      <c r="G12" s="10"/>
      <c r="J12" s="28"/>
      <c r="K12" s="29"/>
      <c r="L12" s="29"/>
      <c r="M12" s="29"/>
      <c r="N12" s="29"/>
      <c r="O12" s="30"/>
      <c r="Q12" s="49" t="s">
        <v>17</v>
      </c>
      <c r="R12" s="50"/>
      <c r="S12" s="50"/>
      <c r="T12" s="50"/>
      <c r="U12" s="51"/>
    </row>
    <row r="13" spans="2:34" x14ac:dyDescent="0.25">
      <c r="J13" s="28"/>
      <c r="K13" s="29"/>
      <c r="L13" s="29"/>
      <c r="M13" s="29"/>
      <c r="N13" s="29"/>
      <c r="O13" s="30"/>
      <c r="Q13" s="56" t="s">
        <v>13</v>
      </c>
      <c r="R13" s="57"/>
      <c r="S13" s="57"/>
      <c r="T13" s="58" t="s">
        <v>12</v>
      </c>
      <c r="U13" s="55">
        <v>0.75</v>
      </c>
    </row>
    <row r="14" spans="2:34" ht="15.75" x14ac:dyDescent="0.3">
      <c r="B14" s="37" t="s">
        <v>64</v>
      </c>
      <c r="C14" s="38"/>
      <c r="D14" s="38"/>
      <c r="E14" s="38"/>
      <c r="F14" s="38"/>
      <c r="G14" s="39"/>
      <c r="J14" s="28"/>
      <c r="K14" s="29"/>
      <c r="L14" s="29"/>
      <c r="M14" s="29"/>
      <c r="N14" s="29"/>
      <c r="O14" s="30"/>
      <c r="Q14" s="49" t="s">
        <v>18</v>
      </c>
      <c r="R14" s="50"/>
      <c r="S14" s="50"/>
      <c r="T14" s="50"/>
      <c r="U14" s="51"/>
    </row>
    <row r="15" spans="2:34" x14ac:dyDescent="0.25">
      <c r="B15" s="42"/>
      <c r="C15" s="43"/>
      <c r="D15" s="43"/>
      <c r="E15" s="43"/>
      <c r="F15" s="43"/>
      <c r="G15" s="44"/>
      <c r="J15" s="28"/>
      <c r="K15" s="29"/>
      <c r="L15" s="29"/>
      <c r="M15" s="29"/>
      <c r="N15" s="29"/>
      <c r="O15" s="30"/>
      <c r="Q15" s="59" t="s">
        <v>70</v>
      </c>
      <c r="R15" s="60"/>
      <c r="S15" s="60"/>
      <c r="T15" s="61" t="s">
        <v>12</v>
      </c>
      <c r="U15" s="55">
        <v>2.2000000000000002</v>
      </c>
    </row>
    <row r="16" spans="2:34" x14ac:dyDescent="0.25">
      <c r="B16" s="45"/>
      <c r="C16" s="46"/>
      <c r="D16" s="46"/>
      <c r="E16" s="46"/>
      <c r="F16" s="46"/>
      <c r="G16" s="47"/>
      <c r="J16" s="28"/>
      <c r="K16" s="29"/>
      <c r="L16" s="29"/>
      <c r="M16" s="29"/>
      <c r="N16" s="29"/>
      <c r="O16" s="30"/>
      <c r="X16" s="32"/>
    </row>
    <row r="17" spans="2:21" ht="15.75" x14ac:dyDescent="0.3">
      <c r="J17" s="28"/>
      <c r="K17" s="29"/>
      <c r="L17" s="29"/>
      <c r="M17" s="29"/>
      <c r="N17" s="29"/>
      <c r="O17" s="30"/>
      <c r="Q17" s="49" t="s">
        <v>32</v>
      </c>
      <c r="R17" s="50"/>
      <c r="S17" s="50"/>
      <c r="T17" s="50"/>
      <c r="U17" s="51"/>
    </row>
    <row r="18" spans="2:21" ht="15.75" x14ac:dyDescent="0.3">
      <c r="B18" s="12" t="s">
        <v>72</v>
      </c>
      <c r="C18" s="13"/>
      <c r="D18" s="13"/>
      <c r="E18" s="13"/>
      <c r="F18" s="13"/>
      <c r="G18" s="14"/>
      <c r="J18" s="28"/>
      <c r="K18" s="29"/>
      <c r="L18" s="29"/>
      <c r="M18" s="29"/>
      <c r="N18" s="29"/>
      <c r="O18" s="30"/>
      <c r="Q18" s="49" t="s">
        <v>9</v>
      </c>
      <c r="R18" s="50"/>
      <c r="S18" s="50"/>
      <c r="T18" s="50"/>
      <c r="U18" s="51"/>
    </row>
    <row r="19" spans="2:21" x14ac:dyDescent="0.25">
      <c r="B19" s="15" t="s">
        <v>73</v>
      </c>
      <c r="C19" s="16"/>
      <c r="D19" s="16" t="s">
        <v>74</v>
      </c>
      <c r="E19" s="16"/>
      <c r="F19" s="16" t="s">
        <v>75</v>
      </c>
      <c r="G19" s="17"/>
      <c r="J19" s="28"/>
      <c r="K19" s="29"/>
      <c r="L19" s="29"/>
      <c r="M19" s="29"/>
      <c r="N19" s="29"/>
      <c r="O19" s="30"/>
      <c r="Q19" s="52" t="s">
        <v>33</v>
      </c>
      <c r="R19" s="53"/>
      <c r="S19" s="53"/>
      <c r="T19" s="53"/>
      <c r="U19" s="55" t="s">
        <v>21</v>
      </c>
    </row>
    <row r="20" spans="2:21" x14ac:dyDescent="0.25">
      <c r="B20" s="18" t="s">
        <v>76</v>
      </c>
      <c r="C20" s="1" t="s">
        <v>77</v>
      </c>
      <c r="D20" s="1" t="s">
        <v>76</v>
      </c>
      <c r="E20" s="1" t="s">
        <v>77</v>
      </c>
      <c r="F20" s="1" t="s">
        <v>76</v>
      </c>
      <c r="G20" s="19" t="s">
        <v>77</v>
      </c>
      <c r="J20" s="8"/>
      <c r="K20" s="9"/>
      <c r="L20" s="9"/>
      <c r="M20" s="9"/>
      <c r="N20" s="9"/>
      <c r="O20" s="10"/>
      <c r="Q20" s="52" t="s">
        <v>34</v>
      </c>
      <c r="R20" s="53"/>
      <c r="S20" s="53"/>
      <c r="T20" s="54" t="s">
        <v>31</v>
      </c>
      <c r="U20" s="55">
        <f>VLOOKUP(U19,J37:O38,4,FALSE)</f>
        <v>2.8264000000000001E-8</v>
      </c>
    </row>
    <row r="21" spans="2:21" x14ac:dyDescent="0.25">
      <c r="B21" s="20">
        <v>1.0445388120060299</v>
      </c>
      <c r="C21" s="21">
        <v>0.63331142081026603</v>
      </c>
      <c r="D21" s="21">
        <v>6.3568155076287602E-2</v>
      </c>
      <c r="E21" s="21">
        <v>0.11842282821818401</v>
      </c>
      <c r="F21" s="21">
        <v>6.3568155076287602E-2</v>
      </c>
      <c r="G21" s="22">
        <v>0.11842282821818401</v>
      </c>
      <c r="Q21" s="52" t="s">
        <v>39</v>
      </c>
      <c r="R21" s="53"/>
      <c r="S21" s="53"/>
      <c r="T21" s="54" t="s">
        <v>40</v>
      </c>
      <c r="U21" s="55">
        <v>630</v>
      </c>
    </row>
    <row r="22" spans="2:21" ht="15.75" x14ac:dyDescent="0.3">
      <c r="B22" s="15" t="s">
        <v>78</v>
      </c>
      <c r="C22" s="16"/>
      <c r="D22" s="16" t="s">
        <v>79</v>
      </c>
      <c r="E22" s="16"/>
      <c r="F22" s="16" t="s">
        <v>80</v>
      </c>
      <c r="G22" s="17"/>
      <c r="J22" s="66" t="s">
        <v>19</v>
      </c>
      <c r="K22" s="67"/>
      <c r="L22" s="67"/>
      <c r="M22" s="67"/>
      <c r="N22" s="67"/>
      <c r="O22" s="68"/>
      <c r="Q22" s="52" t="s">
        <v>35</v>
      </c>
      <c r="R22" s="53"/>
      <c r="S22" s="53"/>
      <c r="T22" s="54" t="s">
        <v>36</v>
      </c>
      <c r="U22" s="55">
        <v>4.6899999999999997E-2</v>
      </c>
    </row>
    <row r="23" spans="2:21" x14ac:dyDescent="0.25">
      <c r="B23" s="18" t="s">
        <v>76</v>
      </c>
      <c r="C23" s="1" t="s">
        <v>77</v>
      </c>
      <c r="D23" s="1" t="s">
        <v>76</v>
      </c>
      <c r="E23" s="1" t="s">
        <v>77</v>
      </c>
      <c r="F23" s="1" t="s">
        <v>76</v>
      </c>
      <c r="G23" s="19" t="s">
        <v>77</v>
      </c>
      <c r="J23" s="69" t="s">
        <v>20</v>
      </c>
      <c r="K23" s="70"/>
      <c r="L23" s="71"/>
      <c r="M23" s="72" t="s">
        <v>21</v>
      </c>
      <c r="N23" s="73"/>
      <c r="O23" s="74"/>
      <c r="Q23" s="52" t="s">
        <v>41</v>
      </c>
      <c r="R23" s="53"/>
      <c r="S23" s="53"/>
      <c r="T23" s="54" t="s">
        <v>42</v>
      </c>
      <c r="U23" s="55">
        <v>90</v>
      </c>
    </row>
    <row r="24" spans="2:21" x14ac:dyDescent="0.25">
      <c r="B24" s="23">
        <v>5.48256932882834E-15</v>
      </c>
      <c r="C24" s="24">
        <v>98.765188745376904</v>
      </c>
      <c r="D24" s="24">
        <v>-6.1614459432943903E-15</v>
      </c>
      <c r="E24" s="24">
        <v>98.765188745376904</v>
      </c>
      <c r="F24" s="24">
        <v>4.6642172638537196E-16</v>
      </c>
      <c r="G24" s="25">
        <v>98.765188745376804</v>
      </c>
      <c r="J24" s="75"/>
      <c r="K24" s="76"/>
      <c r="L24" s="77"/>
      <c r="M24" s="72" t="s">
        <v>22</v>
      </c>
      <c r="N24" s="73"/>
      <c r="O24" s="74"/>
      <c r="Q24" s="52" t="s">
        <v>43</v>
      </c>
      <c r="R24" s="53"/>
      <c r="S24" s="53"/>
      <c r="T24" s="54" t="s">
        <v>44</v>
      </c>
      <c r="U24" s="55">
        <v>60</v>
      </c>
    </row>
    <row r="25" spans="2:21" x14ac:dyDescent="0.25">
      <c r="J25" s="69" t="s">
        <v>25</v>
      </c>
      <c r="K25" s="70"/>
      <c r="L25" s="71"/>
      <c r="M25" s="72" t="s">
        <v>23</v>
      </c>
      <c r="N25" s="73"/>
      <c r="O25" s="74"/>
      <c r="Q25" s="52" t="s">
        <v>54</v>
      </c>
      <c r="R25" s="53"/>
      <c r="S25" s="53"/>
      <c r="T25" s="53"/>
      <c r="U25" s="55">
        <v>1</v>
      </c>
    </row>
    <row r="26" spans="2:21" ht="15.75" x14ac:dyDescent="0.3">
      <c r="B26" s="12" t="s">
        <v>81</v>
      </c>
      <c r="C26" s="13"/>
      <c r="D26" s="13"/>
      <c r="E26" s="18" t="s">
        <v>91</v>
      </c>
      <c r="F26" s="19" t="s">
        <v>63</v>
      </c>
      <c r="G26" s="19">
        <v>2.7799999999999998E-2</v>
      </c>
      <c r="J26" s="75"/>
      <c r="K26" s="76"/>
      <c r="L26" s="77"/>
      <c r="M26" s="72" t="s">
        <v>24</v>
      </c>
      <c r="N26" s="73"/>
      <c r="O26" s="74"/>
      <c r="Q26" s="49" t="s">
        <v>17</v>
      </c>
      <c r="R26" s="50"/>
      <c r="S26" s="50"/>
      <c r="T26" s="50"/>
      <c r="U26" s="51"/>
    </row>
    <row r="27" spans="2:21" x14ac:dyDescent="0.25">
      <c r="B27" s="15" t="s">
        <v>82</v>
      </c>
      <c r="C27" s="16"/>
      <c r="D27" s="16"/>
      <c r="E27" s="15" t="s">
        <v>90</v>
      </c>
      <c r="F27" s="16"/>
      <c r="G27" s="17"/>
      <c r="J27" s="69" t="s">
        <v>17</v>
      </c>
      <c r="K27" s="70"/>
      <c r="L27" s="71"/>
      <c r="M27" s="72" t="s">
        <v>21</v>
      </c>
      <c r="N27" s="73"/>
      <c r="O27" s="74"/>
      <c r="Q27" s="52" t="s">
        <v>33</v>
      </c>
      <c r="R27" s="53"/>
      <c r="S27" s="53"/>
      <c r="T27" s="53"/>
      <c r="U27" s="55" t="s">
        <v>22</v>
      </c>
    </row>
    <row r="28" spans="2:21" x14ac:dyDescent="0.25">
      <c r="B28" s="18" t="s">
        <v>83</v>
      </c>
      <c r="C28" s="19" t="s">
        <v>63</v>
      </c>
      <c r="D28" s="1">
        <v>0</v>
      </c>
      <c r="E28" s="18" t="s">
        <v>83</v>
      </c>
      <c r="F28" s="19" t="s">
        <v>63</v>
      </c>
      <c r="G28" s="19">
        <v>2.5499999999999998E-2</v>
      </c>
      <c r="J28" s="75"/>
      <c r="K28" s="76"/>
      <c r="L28" s="77"/>
      <c r="M28" s="72" t="s">
        <v>22</v>
      </c>
      <c r="N28" s="73"/>
      <c r="O28" s="74"/>
      <c r="Q28" s="52" t="s">
        <v>52</v>
      </c>
      <c r="R28" s="53"/>
      <c r="S28" s="53"/>
      <c r="T28" s="53"/>
      <c r="U28" s="55" t="s">
        <v>27</v>
      </c>
    </row>
    <row r="29" spans="2:21" x14ac:dyDescent="0.25">
      <c r="B29" s="18" t="s">
        <v>84</v>
      </c>
      <c r="C29" s="19" t="s">
        <v>63</v>
      </c>
      <c r="D29" s="1">
        <v>1.4999999999999999E-2</v>
      </c>
      <c r="E29" s="18" t="s">
        <v>84</v>
      </c>
      <c r="F29" s="19" t="s">
        <v>63</v>
      </c>
      <c r="G29" s="19">
        <v>2.5600000000000001E-2</v>
      </c>
      <c r="Q29" s="52" t="s">
        <v>34</v>
      </c>
      <c r="R29" s="53"/>
      <c r="S29" s="53"/>
      <c r="T29" s="54" t="s">
        <v>31</v>
      </c>
      <c r="U29" s="55">
        <f>VLOOKUP(U27,J37:O38,4,FALSE)</f>
        <v>1.7240999999999999E-8</v>
      </c>
    </row>
    <row r="30" spans="2:21" ht="15.75" x14ac:dyDescent="0.3">
      <c r="B30" s="18" t="s">
        <v>85</v>
      </c>
      <c r="C30" s="19" t="s">
        <v>88</v>
      </c>
      <c r="D30" s="1">
        <v>4.3609600667979952E-8</v>
      </c>
      <c r="E30" s="18" t="s">
        <v>85</v>
      </c>
      <c r="F30" s="19" t="s">
        <v>88</v>
      </c>
      <c r="G30" s="19">
        <v>2.1983999100000002E-8</v>
      </c>
      <c r="J30" s="78" t="s">
        <v>26</v>
      </c>
      <c r="K30" s="78"/>
      <c r="L30" s="78"/>
      <c r="M30" s="78"/>
      <c r="N30" s="78"/>
      <c r="O30" s="78"/>
      <c r="Q30" s="52" t="s">
        <v>54</v>
      </c>
      <c r="R30" s="53"/>
      <c r="S30" s="53"/>
      <c r="T30" s="53"/>
      <c r="U30" s="55">
        <v>1</v>
      </c>
    </row>
    <row r="31" spans="2:21" x14ac:dyDescent="0.25">
      <c r="B31" s="15" t="s">
        <v>86</v>
      </c>
      <c r="C31" s="17"/>
      <c r="D31" s="1">
        <v>1</v>
      </c>
      <c r="E31" s="15" t="s">
        <v>86</v>
      </c>
      <c r="F31" s="17"/>
      <c r="G31" s="19">
        <v>1</v>
      </c>
      <c r="J31" s="79" t="s">
        <v>27</v>
      </c>
      <c r="K31" s="79"/>
      <c r="L31" s="79"/>
      <c r="M31" s="79"/>
      <c r="N31" s="79"/>
      <c r="O31" s="79"/>
      <c r="Q31" s="52" t="s">
        <v>71</v>
      </c>
      <c r="R31" s="53"/>
      <c r="S31" s="53"/>
      <c r="T31" s="62"/>
      <c r="U31" s="55">
        <v>36</v>
      </c>
    </row>
    <row r="32" spans="2:21" ht="15.75" x14ac:dyDescent="0.3">
      <c r="B32" s="18" t="s">
        <v>86</v>
      </c>
      <c r="C32" s="19" t="s">
        <v>89</v>
      </c>
      <c r="D32" s="1">
        <v>1</v>
      </c>
      <c r="E32" s="18" t="s">
        <v>86</v>
      </c>
      <c r="F32" s="19" t="s">
        <v>89</v>
      </c>
      <c r="G32" s="19">
        <v>1</v>
      </c>
      <c r="J32" s="79" t="s">
        <v>28</v>
      </c>
      <c r="K32" s="79"/>
      <c r="L32" s="79"/>
      <c r="M32" s="79"/>
      <c r="N32" s="79"/>
      <c r="O32" s="79"/>
      <c r="Q32" s="49" t="s">
        <v>14</v>
      </c>
      <c r="R32" s="50"/>
      <c r="S32" s="50"/>
      <c r="T32" s="50"/>
      <c r="U32" s="51"/>
    </row>
    <row r="33" spans="2:21" x14ac:dyDescent="0.25">
      <c r="B33" s="18" t="s">
        <v>87</v>
      </c>
      <c r="C33" s="19" t="s">
        <v>89</v>
      </c>
      <c r="D33" s="1">
        <v>2.5</v>
      </c>
      <c r="E33" s="18" t="s">
        <v>87</v>
      </c>
      <c r="F33" s="19" t="s">
        <v>89</v>
      </c>
      <c r="G33" s="19">
        <v>2.5</v>
      </c>
      <c r="J33" s="79" t="s">
        <v>29</v>
      </c>
      <c r="K33" s="79"/>
      <c r="L33" s="79"/>
      <c r="M33" s="79"/>
      <c r="N33" s="79"/>
      <c r="O33" s="79"/>
      <c r="Q33" s="52" t="s">
        <v>54</v>
      </c>
      <c r="R33" s="53"/>
      <c r="S33" s="53"/>
      <c r="T33" s="53"/>
      <c r="U33" s="55">
        <v>1</v>
      </c>
    </row>
    <row r="34" spans="2:21" x14ac:dyDescent="0.25">
      <c r="J34" s="79" t="s">
        <v>53</v>
      </c>
      <c r="K34" s="79"/>
      <c r="L34" s="79"/>
      <c r="M34" s="79"/>
      <c r="N34" s="79"/>
      <c r="O34" s="79"/>
      <c r="Q34" s="52" t="s">
        <v>55</v>
      </c>
      <c r="R34" s="53"/>
      <c r="S34" s="53"/>
      <c r="T34" s="53"/>
      <c r="U34" s="55">
        <v>2.5</v>
      </c>
    </row>
    <row r="35" spans="2:21" ht="15.75" x14ac:dyDescent="0.3">
      <c r="Q35" s="49" t="s">
        <v>56</v>
      </c>
      <c r="R35" s="50"/>
      <c r="S35" s="50"/>
      <c r="T35" s="50"/>
      <c r="U35" s="51"/>
    </row>
    <row r="36" spans="2:21" ht="15.75" x14ac:dyDescent="0.3">
      <c r="J36" s="78" t="s">
        <v>30</v>
      </c>
      <c r="K36" s="78"/>
      <c r="L36" s="78"/>
      <c r="M36" s="78"/>
      <c r="N36" s="78"/>
      <c r="O36" s="78"/>
      <c r="Q36" s="52" t="s">
        <v>54</v>
      </c>
      <c r="R36" s="53"/>
      <c r="S36" s="53"/>
      <c r="T36" s="53"/>
      <c r="U36" s="55">
        <v>1</v>
      </c>
    </row>
    <row r="37" spans="2:21" x14ac:dyDescent="0.25">
      <c r="J37" s="72" t="s">
        <v>22</v>
      </c>
      <c r="K37" s="73"/>
      <c r="L37" s="80" t="s">
        <v>31</v>
      </c>
      <c r="M37" s="81">
        <v>1.7240999999999999E-8</v>
      </c>
      <c r="N37" s="82"/>
      <c r="O37" s="83"/>
      <c r="Q37" s="52" t="s">
        <v>55</v>
      </c>
      <c r="R37" s="53"/>
      <c r="S37" s="53"/>
      <c r="T37" s="53"/>
      <c r="U37" s="55">
        <v>2.5</v>
      </c>
    </row>
    <row r="38" spans="2:21" ht="15.75" x14ac:dyDescent="0.3">
      <c r="J38" s="72" t="s">
        <v>21</v>
      </c>
      <c r="K38" s="73"/>
      <c r="L38" s="80" t="s">
        <v>31</v>
      </c>
      <c r="M38" s="81">
        <v>2.8264000000000001E-8</v>
      </c>
      <c r="N38" s="82"/>
      <c r="O38" s="83"/>
      <c r="Q38" s="49" t="s">
        <v>57</v>
      </c>
      <c r="R38" s="50"/>
      <c r="S38" s="50"/>
      <c r="T38" s="50"/>
      <c r="U38" s="51"/>
    </row>
    <row r="39" spans="2:21" x14ac:dyDescent="0.25">
      <c r="Q39" s="52" t="s">
        <v>34</v>
      </c>
      <c r="R39" s="53"/>
      <c r="S39" s="53"/>
      <c r="T39" s="54" t="s">
        <v>31</v>
      </c>
      <c r="U39" s="55">
        <v>100</v>
      </c>
    </row>
    <row r="40" spans="2:21" ht="15.75" x14ac:dyDescent="0.3">
      <c r="J40" s="78" t="s">
        <v>37</v>
      </c>
      <c r="K40" s="78"/>
      <c r="L40" s="78"/>
      <c r="M40" s="78"/>
      <c r="N40" s="78"/>
      <c r="O40" s="78"/>
      <c r="Q40" s="52" t="s">
        <v>54</v>
      </c>
      <c r="R40" s="53"/>
      <c r="S40" s="53"/>
      <c r="T40" s="53"/>
      <c r="U40" s="55">
        <v>1</v>
      </c>
    </row>
    <row r="41" spans="2:21" ht="15" customHeight="1" x14ac:dyDescent="0.25">
      <c r="J41" s="84" t="s">
        <v>38</v>
      </c>
      <c r="K41" s="84"/>
      <c r="L41" s="74" t="s">
        <v>33</v>
      </c>
      <c r="M41" s="79"/>
      <c r="N41" s="79"/>
      <c r="O41" s="79"/>
    </row>
    <row r="42" spans="2:21" ht="15.75" x14ac:dyDescent="0.3">
      <c r="J42" s="84"/>
      <c r="K42" s="84"/>
      <c r="L42" s="74" t="s">
        <v>21</v>
      </c>
      <c r="M42" s="79"/>
      <c r="N42" s="79" t="s">
        <v>22</v>
      </c>
      <c r="O42" s="79"/>
      <c r="Q42" s="49" t="s">
        <v>45</v>
      </c>
      <c r="R42" s="50"/>
      <c r="S42" s="50"/>
      <c r="T42" s="50"/>
      <c r="U42" s="51"/>
    </row>
    <row r="43" spans="2:21" x14ac:dyDescent="0.25">
      <c r="J43" s="72">
        <v>800</v>
      </c>
      <c r="K43" s="74"/>
      <c r="L43" s="85">
        <v>2.24E-2</v>
      </c>
      <c r="M43" s="86" t="s">
        <v>36</v>
      </c>
      <c r="N43" s="87">
        <v>3.6700000000000003E-2</v>
      </c>
      <c r="O43" s="86" t="s">
        <v>36</v>
      </c>
      <c r="Q43" s="52" t="s">
        <v>65</v>
      </c>
      <c r="R43" s="53"/>
      <c r="S43" s="53"/>
      <c r="T43" s="53"/>
      <c r="U43" s="55" t="s">
        <v>18</v>
      </c>
    </row>
    <row r="44" spans="2:21" x14ac:dyDescent="0.25">
      <c r="J44" s="72">
        <v>1000</v>
      </c>
      <c r="K44" s="74"/>
      <c r="L44" s="85">
        <v>1.77E-2</v>
      </c>
      <c r="M44" s="86" t="s">
        <v>36</v>
      </c>
      <c r="N44" s="87">
        <v>2.9100000000000001E-2</v>
      </c>
      <c r="O44" s="86" t="s">
        <v>36</v>
      </c>
      <c r="Q44" s="52" t="s">
        <v>66</v>
      </c>
      <c r="R44" s="53"/>
      <c r="S44" s="53"/>
      <c r="T44" s="53"/>
      <c r="U44" s="55" t="s">
        <v>48</v>
      </c>
    </row>
    <row r="45" spans="2:21" x14ac:dyDescent="0.25">
      <c r="J45" s="72">
        <v>1200</v>
      </c>
      <c r="K45" s="74"/>
      <c r="L45" s="85">
        <v>1.5100000000000001E-2</v>
      </c>
      <c r="M45" s="86" t="s">
        <v>36</v>
      </c>
      <c r="N45" s="87">
        <v>2.47E-2</v>
      </c>
      <c r="O45" s="86" t="s">
        <v>36</v>
      </c>
      <c r="Q45" s="52" t="s">
        <v>46</v>
      </c>
      <c r="R45" s="53"/>
      <c r="S45" s="53"/>
      <c r="T45" s="53"/>
      <c r="U45" s="55">
        <f>IF(U4&gt;0,VLOOKUP(U44,K56:O58,3,FALSE),VLOOKUP(U44,K53:O55,3,FALSE))</f>
        <v>1</v>
      </c>
    </row>
    <row r="46" spans="2:21" x14ac:dyDescent="0.25">
      <c r="J46" s="72">
        <v>1400</v>
      </c>
      <c r="K46" s="74"/>
      <c r="L46" s="85">
        <v>1.29E-2</v>
      </c>
      <c r="M46" s="86" t="s">
        <v>36</v>
      </c>
      <c r="N46" s="87">
        <v>2.12E-2</v>
      </c>
      <c r="O46" s="86" t="s">
        <v>36</v>
      </c>
      <c r="Q46" s="52" t="s">
        <v>51</v>
      </c>
      <c r="R46" s="53"/>
      <c r="S46" s="53"/>
      <c r="T46" s="53"/>
      <c r="U46" s="55">
        <f>IF(U4&gt;0,VLOOKUP(U44,K64:O66,3,FALSE),VLOOKUP(U44,K61:O63,3,FALSE))</f>
        <v>0.8</v>
      </c>
    </row>
    <row r="47" spans="2:21" x14ac:dyDescent="0.25">
      <c r="J47" s="72">
        <v>1600</v>
      </c>
      <c r="K47" s="74"/>
      <c r="L47" s="85">
        <v>1.1299999999999999E-2</v>
      </c>
      <c r="M47" s="86" t="s">
        <v>36</v>
      </c>
      <c r="N47" s="87">
        <v>1.8599999999999998E-2</v>
      </c>
      <c r="O47" s="86" t="s">
        <v>36</v>
      </c>
    </row>
    <row r="48" spans="2:21" x14ac:dyDescent="0.25">
      <c r="J48" s="72">
        <v>1800</v>
      </c>
      <c r="K48" s="74"/>
      <c r="L48" s="85">
        <v>1.01E-2</v>
      </c>
      <c r="M48" s="86" t="s">
        <v>36</v>
      </c>
      <c r="N48" s="87">
        <v>1.6500000000000001E-2</v>
      </c>
      <c r="O48" s="86" t="s">
        <v>36</v>
      </c>
    </row>
    <row r="49" spans="10:15" x14ac:dyDescent="0.25">
      <c r="J49" s="72">
        <v>2000</v>
      </c>
      <c r="K49" s="74"/>
      <c r="L49" s="85">
        <v>8.9999999999999993E-3</v>
      </c>
      <c r="M49" s="86" t="s">
        <v>36</v>
      </c>
      <c r="N49" s="87">
        <v>1.49E-2</v>
      </c>
      <c r="O49" s="86" t="s">
        <v>36</v>
      </c>
    </row>
    <row r="50" spans="10:15" x14ac:dyDescent="0.25">
      <c r="J50" s="72">
        <v>2500</v>
      </c>
      <c r="K50" s="74"/>
      <c r="L50" s="85">
        <v>7.1999999999999998E-3</v>
      </c>
      <c r="M50" s="86" t="s">
        <v>36</v>
      </c>
      <c r="N50" s="87">
        <v>1.2699999999999999E-2</v>
      </c>
      <c r="O50" s="86" t="s">
        <v>36</v>
      </c>
    </row>
    <row r="52" spans="10:15" ht="15.75" x14ac:dyDescent="0.3">
      <c r="J52" s="78" t="s">
        <v>46</v>
      </c>
      <c r="K52" s="78"/>
      <c r="L52" s="78"/>
      <c r="M52" s="78"/>
      <c r="N52" s="78"/>
      <c r="O52" s="78"/>
    </row>
    <row r="53" spans="10:15" x14ac:dyDescent="0.25">
      <c r="J53" s="88" t="s">
        <v>50</v>
      </c>
      <c r="K53" s="72" t="s">
        <v>47</v>
      </c>
      <c r="L53" s="73"/>
      <c r="M53" s="81">
        <v>1</v>
      </c>
      <c r="N53" s="82"/>
      <c r="O53" s="83"/>
    </row>
    <row r="54" spans="10:15" x14ac:dyDescent="0.25">
      <c r="J54" s="89"/>
      <c r="K54" s="72" t="s">
        <v>48</v>
      </c>
      <c r="L54" s="73"/>
      <c r="M54" s="81">
        <v>1</v>
      </c>
      <c r="N54" s="82"/>
      <c r="O54" s="83"/>
    </row>
    <row r="55" spans="10:15" x14ac:dyDescent="0.25">
      <c r="J55" s="90"/>
      <c r="K55" s="72" t="s">
        <v>49</v>
      </c>
      <c r="L55" s="73"/>
      <c r="M55" s="81">
        <v>0.25</v>
      </c>
      <c r="N55" s="82"/>
      <c r="O55" s="83"/>
    </row>
    <row r="56" spans="10:15" x14ac:dyDescent="0.25">
      <c r="J56" s="88" t="s">
        <v>18</v>
      </c>
      <c r="K56" s="72" t="s">
        <v>47</v>
      </c>
      <c r="L56" s="73"/>
      <c r="M56" s="81">
        <v>1</v>
      </c>
      <c r="N56" s="82"/>
      <c r="O56" s="83"/>
    </row>
    <row r="57" spans="10:15" x14ac:dyDescent="0.25">
      <c r="J57" s="89"/>
      <c r="K57" s="72" t="s">
        <v>48</v>
      </c>
      <c r="L57" s="73"/>
      <c r="M57" s="81">
        <v>1</v>
      </c>
      <c r="N57" s="82"/>
      <c r="O57" s="83"/>
    </row>
    <row r="58" spans="10:15" x14ac:dyDescent="0.25">
      <c r="J58" s="90"/>
      <c r="K58" s="72" t="s">
        <v>49</v>
      </c>
      <c r="L58" s="73"/>
      <c r="M58" s="81">
        <v>0.35</v>
      </c>
      <c r="N58" s="82"/>
      <c r="O58" s="83"/>
    </row>
    <row r="60" spans="10:15" ht="15.75" x14ac:dyDescent="0.3">
      <c r="J60" s="78" t="s">
        <v>51</v>
      </c>
      <c r="K60" s="78"/>
      <c r="L60" s="78"/>
      <c r="M60" s="78"/>
      <c r="N60" s="78"/>
      <c r="O60" s="78"/>
    </row>
    <row r="61" spans="10:15" x14ac:dyDescent="0.25">
      <c r="J61" s="88" t="s">
        <v>50</v>
      </c>
      <c r="K61" s="72" t="s">
        <v>47</v>
      </c>
      <c r="L61" s="73"/>
      <c r="M61" s="81">
        <v>1</v>
      </c>
      <c r="N61" s="82"/>
      <c r="O61" s="83"/>
    </row>
    <row r="62" spans="10:15" x14ac:dyDescent="0.25">
      <c r="J62" s="89"/>
      <c r="K62" s="72" t="s">
        <v>48</v>
      </c>
      <c r="L62" s="73"/>
      <c r="M62" s="81">
        <v>0.8</v>
      </c>
      <c r="N62" s="82"/>
      <c r="O62" s="83"/>
    </row>
    <row r="63" spans="10:15" x14ac:dyDescent="0.25">
      <c r="J63" s="90"/>
      <c r="K63" s="72" t="s">
        <v>49</v>
      </c>
      <c r="L63" s="73"/>
      <c r="M63" s="81">
        <v>0.15</v>
      </c>
      <c r="N63" s="82"/>
      <c r="O63" s="83"/>
    </row>
    <row r="64" spans="10:15" x14ac:dyDescent="0.25">
      <c r="J64" s="88" t="s">
        <v>18</v>
      </c>
      <c r="K64" s="72" t="s">
        <v>47</v>
      </c>
      <c r="L64" s="73"/>
      <c r="M64" s="81">
        <v>1</v>
      </c>
      <c r="N64" s="82"/>
      <c r="O64" s="83"/>
    </row>
    <row r="65" spans="10:15" x14ac:dyDescent="0.25">
      <c r="J65" s="89"/>
      <c r="K65" s="72" t="s">
        <v>48</v>
      </c>
      <c r="L65" s="73"/>
      <c r="M65" s="81">
        <v>1</v>
      </c>
      <c r="N65" s="82"/>
      <c r="O65" s="83"/>
    </row>
    <row r="66" spans="10:15" x14ac:dyDescent="0.25">
      <c r="J66" s="90"/>
      <c r="K66" s="72" t="s">
        <v>49</v>
      </c>
      <c r="L66" s="73"/>
      <c r="M66" s="81">
        <v>0.2</v>
      </c>
      <c r="N66" s="82"/>
      <c r="O66" s="83"/>
    </row>
    <row r="107" spans="24:24" x14ac:dyDescent="0.25">
      <c r="X107" s="33"/>
    </row>
  </sheetData>
  <mergeCells count="134">
    <mergeCell ref="B19:C19"/>
    <mergeCell ref="D19:E19"/>
    <mergeCell ref="F19:G19"/>
    <mergeCell ref="B22:C22"/>
    <mergeCell ref="D22:E22"/>
    <mergeCell ref="F22:G22"/>
    <mergeCell ref="B31:C31"/>
    <mergeCell ref="B27:D27"/>
    <mergeCell ref="E27:G27"/>
    <mergeCell ref="E31:F31"/>
    <mergeCell ref="B26:D26"/>
    <mergeCell ref="W2:AE2"/>
    <mergeCell ref="Q31:T31"/>
    <mergeCell ref="B14:G16"/>
    <mergeCell ref="Q42:U42"/>
    <mergeCell ref="Q43:T43"/>
    <mergeCell ref="Q44:T44"/>
    <mergeCell ref="Q45:T45"/>
    <mergeCell ref="B10:G12"/>
    <mergeCell ref="X3:Y3"/>
    <mergeCell ref="X4:Y4"/>
    <mergeCell ref="AB3:AC3"/>
    <mergeCell ref="AB4:AC4"/>
    <mergeCell ref="X5:Y5"/>
    <mergeCell ref="AB5:AC5"/>
    <mergeCell ref="Q34:T34"/>
    <mergeCell ref="Q37:T37"/>
    <mergeCell ref="Q35:U35"/>
    <mergeCell ref="Q38:U38"/>
    <mergeCell ref="Q39:S39"/>
    <mergeCell ref="Q40:T40"/>
    <mergeCell ref="Q19:T19"/>
    <mergeCell ref="Q26:U26"/>
    <mergeCell ref="Q27:T27"/>
    <mergeCell ref="B18:G18"/>
    <mergeCell ref="J64:J66"/>
    <mergeCell ref="K64:L64"/>
    <mergeCell ref="M64:O64"/>
    <mergeCell ref="K65:L65"/>
    <mergeCell ref="M65:O65"/>
    <mergeCell ref="K66:L66"/>
    <mergeCell ref="M66:O66"/>
    <mergeCell ref="J60:O60"/>
    <mergeCell ref="J61:J63"/>
    <mergeCell ref="K61:L61"/>
    <mergeCell ref="M61:O61"/>
    <mergeCell ref="K62:L62"/>
    <mergeCell ref="M62:O62"/>
    <mergeCell ref="K63:L63"/>
    <mergeCell ref="M63:O63"/>
    <mergeCell ref="K57:L57"/>
    <mergeCell ref="M57:O57"/>
    <mergeCell ref="K58:L58"/>
    <mergeCell ref="M58:O58"/>
    <mergeCell ref="M55:O55"/>
    <mergeCell ref="J53:J55"/>
    <mergeCell ref="K53:L53"/>
    <mergeCell ref="K54:L54"/>
    <mergeCell ref="K55:L55"/>
    <mergeCell ref="J56:J58"/>
    <mergeCell ref="K56:L56"/>
    <mergeCell ref="M56:O56"/>
    <mergeCell ref="M53:O53"/>
    <mergeCell ref="M54:O54"/>
    <mergeCell ref="J49:K49"/>
    <mergeCell ref="J50:K50"/>
    <mergeCell ref="L42:M42"/>
    <mergeCell ref="N42:O42"/>
    <mergeCell ref="Q21:S21"/>
    <mergeCell ref="Q23:S23"/>
    <mergeCell ref="Q24:S24"/>
    <mergeCell ref="Q25:T25"/>
    <mergeCell ref="J43:K43"/>
    <mergeCell ref="J44:K44"/>
    <mergeCell ref="J45:K45"/>
    <mergeCell ref="J46:K46"/>
    <mergeCell ref="J47:K47"/>
    <mergeCell ref="J48:K48"/>
    <mergeCell ref="Q28:T28"/>
    <mergeCell ref="Q29:S29"/>
    <mergeCell ref="J34:O34"/>
    <mergeCell ref="Q30:T30"/>
    <mergeCell ref="Q32:U32"/>
    <mergeCell ref="Q33:T33"/>
    <mergeCell ref="Q46:T46"/>
    <mergeCell ref="M24:O24"/>
    <mergeCell ref="J23:L24"/>
    <mergeCell ref="J25:L26"/>
    <mergeCell ref="M25:O25"/>
    <mergeCell ref="M26:O26"/>
    <mergeCell ref="M27:O27"/>
    <mergeCell ref="J27:L28"/>
    <mergeCell ref="M28:O28"/>
    <mergeCell ref="J52:O52"/>
    <mergeCell ref="J40:O40"/>
    <mergeCell ref="L41:O41"/>
    <mergeCell ref="J41:K42"/>
    <mergeCell ref="Q36:T36"/>
    <mergeCell ref="J33:O33"/>
    <mergeCell ref="J36:O36"/>
    <mergeCell ref="M37:O37"/>
    <mergeCell ref="M38:O38"/>
    <mergeCell ref="J30:O30"/>
    <mergeCell ref="J37:K37"/>
    <mergeCell ref="J38:K38"/>
    <mergeCell ref="J31:O31"/>
    <mergeCell ref="J32:O32"/>
    <mergeCell ref="Q13:S13"/>
    <mergeCell ref="Q14:U14"/>
    <mergeCell ref="Q15:S15"/>
    <mergeCell ref="J22:O22"/>
    <mergeCell ref="M23:O23"/>
    <mergeCell ref="Q17:U17"/>
    <mergeCell ref="Q18:U18"/>
    <mergeCell ref="Q7:S7"/>
    <mergeCell ref="Q8:U8"/>
    <mergeCell ref="Q9:S9"/>
    <mergeCell ref="Q10:U10"/>
    <mergeCell ref="Q11:S11"/>
    <mergeCell ref="Q12:U12"/>
    <mergeCell ref="J3:O20"/>
    <mergeCell ref="Q20:S20"/>
    <mergeCell ref="Q22:S22"/>
    <mergeCell ref="J2:O2"/>
    <mergeCell ref="Q4:S4"/>
    <mergeCell ref="Q5:S5"/>
    <mergeCell ref="Q2:U2"/>
    <mergeCell ref="Q3:U3"/>
    <mergeCell ref="Q6:U6"/>
    <mergeCell ref="B2:G2"/>
    <mergeCell ref="B3:D3"/>
    <mergeCell ref="E3:G3"/>
    <mergeCell ref="E4:G4"/>
    <mergeCell ref="B6:G8"/>
  </mergeCells>
  <dataValidations disablePrompts="1" count="5">
    <dataValidation type="list" allowBlank="1" showInputMessage="1" showErrorMessage="1" sqref="U19" xr:uid="{553C46EA-DD01-4E25-9E76-2A2EE6D17A0A}">
      <formula1>$M$23:$M$24</formula1>
    </dataValidation>
    <dataValidation type="list" allowBlank="1" showInputMessage="1" showErrorMessage="1" sqref="U27" xr:uid="{45AE3E2C-7F7A-446B-A290-B00CAD005D51}">
      <formula1>$M$27:$M$28</formula1>
    </dataValidation>
    <dataValidation type="list" allowBlank="1" showInputMessage="1" showErrorMessage="1" sqref="U28" xr:uid="{D7AF1277-A4EA-4256-B43F-24C61885790E}">
      <formula1>$J$31:$J$34</formula1>
    </dataValidation>
    <dataValidation type="list" allowBlank="1" showInputMessage="1" showErrorMessage="1" sqref="U43" xr:uid="{663B7103-A098-459D-A94B-79D2A1CC5579}">
      <formula1>$J$53:$J$58</formula1>
    </dataValidation>
    <dataValidation type="list" allowBlank="1" showInputMessage="1" showErrorMessage="1" sqref="U44" xr:uid="{D8FE7024-47DA-499A-B638-58D3CA85E140}">
      <formula1>$K$53:$K$55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Sheet1.complete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Sheet1.wedepohl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Sheet1.ccc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Isaias Lima</dc:creator>
  <cp:lastModifiedBy>Isaias Lima</cp:lastModifiedBy>
  <dcterms:created xsi:type="dcterms:W3CDTF">2021-11-09T13:37:21Z</dcterms:created>
  <dcterms:modified xsi:type="dcterms:W3CDTF">2021-11-10T14:36:29Z</dcterms:modified>
</cp:coreProperties>
</file>